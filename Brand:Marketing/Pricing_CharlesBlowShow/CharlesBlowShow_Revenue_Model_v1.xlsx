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"/>
    <numFmt numFmtId="166" formatCode="0.0%;(0.0%);&quot;-&quot;"/>
    <numFmt numFmtId="167" formatCode="$#,##0.00;($#,##0.00);&quot;-&quot;"/>
    <numFmt numFmtId="168" formatCode="$#,##0;($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14161D"/>
      <sz val="16"/>
    </font>
    <font>
      <name val="Arial"/>
      <i val="1"/>
      <color rgb="006C7077"/>
      <sz val="10"/>
    </font>
    <font>
      <name val="Arial"/>
      <b val="1"/>
      <color rgb="00FFFFFF"/>
      <sz val="11"/>
    </font>
    <font>
      <name val="Arial"/>
      <color rgb="0014161D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4161D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090CC"/>
      </patternFill>
    </fill>
    <fill>
      <patternFill patternType="solid">
        <fgColor rgb="00FBFAF6"/>
      </patternFill>
    </fill>
    <fill>
      <patternFill patternType="solid">
        <fgColor rgb="00E1F3FD"/>
      </patternFill>
    </fill>
  </fills>
  <borders count="2">
    <border>
      <left/>
      <right/>
      <top/>
      <bottom/>
      <diagonal/>
    </border>
    <border>
      <left style="thin">
        <color rgb="00E7E3D9"/>
      </left>
      <right style="thin">
        <color rgb="00E7E3D9"/>
      </right>
      <top style="thin">
        <color rgb="00E7E3D9"/>
      </top>
      <bottom style="thin">
        <color rgb="00E7E3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8" fontId="8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8" fontId="6" fillId="5" borderId="1" applyAlignment="1" pivotButton="0" quotePrefix="0" xfId="0">
      <alignment horizontal="right" vertical="center"/>
    </xf>
    <xf numFmtId="168" fontId="8" fillId="5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  <col width="50" customWidth="1" min="4" max="4"/>
  </cols>
  <sheetData>
    <row r="1">
      <c r="B1" s="1" t="inlineStr">
        <is>
          <t>The Charles Blow Show — Revenue Model</t>
        </is>
      </c>
    </row>
    <row r="2">
      <c r="B2" s="2" t="inlineStr">
        <is>
          <t>DRAFT — illustrative assumptions. Edit blue cells; all outputs recompute.</t>
        </is>
      </c>
    </row>
    <row r="4">
      <c r="B4" s="3" t="inlineStr">
        <is>
          <t>AUDIENCE &amp; FUNNEL</t>
        </is>
      </c>
      <c r="C4" s="4" t="n"/>
      <c r="D4" s="4" t="n"/>
    </row>
    <row r="5">
      <c r="B5" s="5" t="inlineStr">
        <is>
          <t>Starting YouTube subscribers (Month 1)</t>
        </is>
      </c>
      <c r="C5" s="6" t="n">
        <v>800</v>
      </c>
      <c r="D5" s="7" t="inlineStr">
        <is>
          <t>Launch base</t>
        </is>
      </c>
    </row>
    <row r="6">
      <c r="B6" s="5" t="inlineStr">
        <is>
          <t>Target YouTube subscribers (Month 12)</t>
        </is>
      </c>
      <c r="C6" s="6" t="n">
        <v>10000</v>
      </c>
      <c r="D6" s="7" t="inlineStr">
        <is>
          <t>Success-ladder milestone</t>
        </is>
      </c>
    </row>
    <row r="7">
      <c r="B7" s="5" t="inlineStr">
        <is>
          <t>Avg monthly views per subscriber</t>
        </is>
      </c>
      <c r="C7" s="8" t="n">
        <v>4</v>
      </c>
      <c r="D7" s="7" t="inlineStr">
        <is>
          <t>Views generated per sub / mo</t>
        </is>
      </c>
    </row>
    <row r="8">
      <c r="B8" s="5" t="inlineStr">
        <is>
          <t>View -&gt; email signup conversion</t>
        </is>
      </c>
      <c r="C8" s="9" t="n">
        <v>0.015</v>
      </c>
      <c r="D8" s="7" t="inlineStr">
        <is>
          <t>Share of monthly views that join list</t>
        </is>
      </c>
    </row>
    <row r="9">
      <c r="B9" s="5" t="inlineStr">
        <is>
          <t>Email -&gt; paid member conversion</t>
        </is>
      </c>
      <c r="C9" s="9" t="n">
        <v>0.03</v>
      </c>
      <c r="D9" s="7" t="inlineStr">
        <is>
          <t>Default 3% (model 2-5%)</t>
        </is>
      </c>
    </row>
    <row r="10">
      <c r="B10" s="5" t="inlineStr">
        <is>
          <t>Monthly member churn</t>
        </is>
      </c>
      <c r="C10" s="9" t="n">
        <v>0.05</v>
      </c>
      <c r="D10" s="7" t="inlineStr">
        <is>
          <t>Default 5% (model 4-6%)</t>
        </is>
      </c>
    </row>
    <row r="12">
      <c r="B12" s="3" t="inlineStr">
        <is>
          <t>MEMBERSHIP MIX &amp; PRICING</t>
        </is>
      </c>
      <c r="C12" s="4" t="n"/>
      <c r="D12" s="4" t="n"/>
    </row>
    <row r="13">
      <c r="B13" s="5" t="inlineStr">
        <is>
          <t>Share Member tier (vs Founding)</t>
        </is>
      </c>
      <c r="C13" s="9" t="n">
        <v>0.85</v>
      </c>
      <c r="D13" s="7" t="inlineStr">
        <is>
          <t>Remainder are Founding Members</t>
        </is>
      </c>
    </row>
    <row r="14">
      <c r="B14" s="5" t="inlineStr">
        <is>
          <t>Of Members: share on annual billing</t>
        </is>
      </c>
      <c r="C14" s="9" t="n">
        <v>0.3</v>
      </c>
      <c r="D14" s="7" t="inlineStr">
        <is>
          <t>Rest billed monthly</t>
        </is>
      </c>
    </row>
    <row r="15">
      <c r="B15" s="5" t="inlineStr">
        <is>
          <t>Member price - monthly</t>
        </is>
      </c>
      <c r="C15" s="10" t="n">
        <v>7</v>
      </c>
      <c r="D15" s="7" t="inlineStr">
        <is>
          <t>$7 / mo</t>
        </is>
      </c>
    </row>
    <row r="16">
      <c r="B16" s="5" t="inlineStr">
        <is>
          <t>Member price - annual</t>
        </is>
      </c>
      <c r="C16" s="11" t="n">
        <v>70</v>
      </c>
      <c r="D16" s="7" t="inlineStr">
        <is>
          <t>$70 / yr (~17% off)</t>
        </is>
      </c>
    </row>
    <row r="17">
      <c r="B17" s="5" t="inlineStr">
        <is>
          <t>Founding Member price - annual</t>
        </is>
      </c>
      <c r="C17" s="11" t="n">
        <v>150</v>
      </c>
      <c r="D17" s="7" t="inlineStr">
        <is>
          <t>$150 / yr, limited cohort</t>
        </is>
      </c>
    </row>
    <row r="19">
      <c r="B19" s="3" t="inlineStr">
        <is>
          <t>SPONSORSHIP</t>
        </is>
      </c>
      <c r="C19" s="4" t="n"/>
      <c r="D19" s="4" t="n"/>
    </row>
    <row r="20">
      <c r="B20" s="5" t="inlineStr">
        <is>
          <t>Episodes per month</t>
        </is>
      </c>
      <c r="C20" s="6" t="n">
        <v>40</v>
      </c>
      <c r="D20" s="7" t="inlineStr">
        <is>
          <t>~2 segments x ~20 weekdays</t>
        </is>
      </c>
    </row>
    <row r="21">
      <c r="B21" s="5" t="inlineStr">
        <is>
          <t>Avg sponsor reads per episode</t>
        </is>
      </c>
      <c r="C21" s="8" t="n">
        <v>1.5</v>
      </c>
      <c r="D21" s="7" t="inlineStr">
        <is>
          <t>Pre-roll + some mid-roll</t>
        </is>
      </c>
    </row>
    <row r="22">
      <c r="B22" s="5" t="inlineStr">
        <is>
          <t>Pre-roll CPM</t>
        </is>
      </c>
      <c r="C22" s="11" t="n">
        <v>30</v>
      </c>
      <c r="D22" s="7" t="inlineStr">
        <is>
          <t>$30 CPM, 15-20s</t>
        </is>
      </c>
    </row>
    <row r="23">
      <c r="B23" s="5" t="inlineStr">
        <is>
          <t>Mid-roll CPM</t>
        </is>
      </c>
      <c r="C23" s="11" t="n">
        <v>25</v>
      </c>
      <c r="D23" s="7" t="inlineStr">
        <is>
          <t>$25 CPM, 30-45s</t>
        </is>
      </c>
    </row>
    <row r="24">
      <c r="B24" s="5" t="inlineStr">
        <is>
          <t>Blended sponsor CPM</t>
        </is>
      </c>
      <c r="C24" s="12">
        <f>AVERAGE(C22:C23)</f>
        <v/>
      </c>
      <c r="D24" s="7" t="inlineStr">
        <is>
          <t>Avg of pre/mid</t>
        </is>
      </c>
    </row>
    <row r="25">
      <c r="B25" s="5" t="inlineStr">
        <is>
          <t>Sell-through rate of sponsor slots</t>
        </is>
      </c>
      <c r="C25" s="9" t="n">
        <v>0.6</v>
      </c>
      <c r="D25" s="7" t="inlineStr">
        <is>
          <t>Share of reads actually sold</t>
        </is>
      </c>
    </row>
    <row r="27">
      <c r="B27" s="3" t="inlineStr">
        <is>
          <t>PLATFORM &amp; AD REVENUE</t>
        </is>
      </c>
      <c r="C27" s="4" t="n"/>
      <c r="D27" s="4" t="n"/>
    </row>
    <row r="28">
      <c r="B28" s="5" t="inlineStr">
        <is>
          <t>YouTube/podcast RPM (per 1,000 views)</t>
        </is>
      </c>
      <c r="C28" s="11" t="n">
        <v>4</v>
      </c>
      <c r="D28" s="7" t="inlineStr">
        <is>
          <t>Conservative ad RPM</t>
        </is>
      </c>
    </row>
    <row r="29">
      <c r="B29" s="5" t="inlineStr">
        <is>
          <t>Share of views monetized</t>
        </is>
      </c>
      <c r="C29" s="9" t="n">
        <v>0.7</v>
      </c>
      <c r="D29" s="7" t="inlineStr">
        <is>
          <t>Ad-eligible / monetized views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B1" s="1" t="inlineStr">
        <is>
          <t>12-Month Projection</t>
        </is>
      </c>
    </row>
    <row r="2">
      <c r="B2" s="13" t="inlineStr">
        <is>
          <t>Black = formulas. Green = links to Assumptions. All driven by the Assumptions sheet.</t>
        </is>
      </c>
    </row>
    <row r="4">
      <c r="B4" s="3" t="inlineStr">
        <is>
          <t>Metric</t>
        </is>
      </c>
      <c r="C4" s="14" t="inlineStr">
        <is>
          <t>M1</t>
        </is>
      </c>
      <c r="D4" s="14" t="inlineStr">
        <is>
          <t>M2</t>
        </is>
      </c>
      <c r="E4" s="14" t="inlineStr">
        <is>
          <t>M3</t>
        </is>
      </c>
      <c r="F4" s="14" t="inlineStr">
        <is>
          <t>M4</t>
        </is>
      </c>
      <c r="G4" s="14" t="inlineStr">
        <is>
          <t>M5</t>
        </is>
      </c>
      <c r="H4" s="14" t="inlineStr">
        <is>
          <t>M6</t>
        </is>
      </c>
      <c r="I4" s="14" t="inlineStr">
        <is>
          <t>M7</t>
        </is>
      </c>
      <c r="J4" s="14" t="inlineStr">
        <is>
          <t>M8</t>
        </is>
      </c>
      <c r="K4" s="14" t="inlineStr">
        <is>
          <t>M9</t>
        </is>
      </c>
      <c r="L4" s="14" t="inlineStr">
        <is>
          <t>M10</t>
        </is>
      </c>
      <c r="M4" s="14" t="inlineStr">
        <is>
          <t>M11</t>
        </is>
      </c>
      <c r="N4" s="14" t="inlineStr">
        <is>
          <t>M12</t>
        </is>
      </c>
    </row>
    <row r="5">
      <c r="B5" s="15" t="inlineStr">
        <is>
          <t>YouTube subscribers</t>
        </is>
      </c>
      <c r="C5" s="16">
        <f>Assumptions!$C$5+(Assumptions!$C$6-Assumptions!$C$5)*(1-1)/11</f>
        <v/>
      </c>
      <c r="D5" s="16">
        <f>Assumptions!$C$5+(Assumptions!$C$6-Assumptions!$C$5)*(2-1)/11</f>
        <v/>
      </c>
      <c r="E5" s="16">
        <f>Assumptions!$C$5+(Assumptions!$C$6-Assumptions!$C$5)*(3-1)/11</f>
        <v/>
      </c>
      <c r="F5" s="16">
        <f>Assumptions!$C$5+(Assumptions!$C$6-Assumptions!$C$5)*(4-1)/11</f>
        <v/>
      </c>
      <c r="G5" s="16">
        <f>Assumptions!$C$5+(Assumptions!$C$6-Assumptions!$C$5)*(5-1)/11</f>
        <v/>
      </c>
      <c r="H5" s="16">
        <f>Assumptions!$C$5+(Assumptions!$C$6-Assumptions!$C$5)*(6-1)/11</f>
        <v/>
      </c>
      <c r="I5" s="16">
        <f>Assumptions!$C$5+(Assumptions!$C$6-Assumptions!$C$5)*(7-1)/11</f>
        <v/>
      </c>
      <c r="J5" s="16">
        <f>Assumptions!$C$5+(Assumptions!$C$6-Assumptions!$C$5)*(8-1)/11</f>
        <v/>
      </c>
      <c r="K5" s="16">
        <f>Assumptions!$C$5+(Assumptions!$C$6-Assumptions!$C$5)*(9-1)/11</f>
        <v/>
      </c>
      <c r="L5" s="16">
        <f>Assumptions!$C$5+(Assumptions!$C$6-Assumptions!$C$5)*(10-1)/11</f>
        <v/>
      </c>
      <c r="M5" s="16">
        <f>Assumptions!$C$5+(Assumptions!$C$6-Assumptions!$C$5)*(11-1)/11</f>
        <v/>
      </c>
      <c r="N5" s="16">
        <f>Assumptions!$C$5+(Assumptions!$C$6-Assumptions!$C$5)*(12-1)/11</f>
        <v/>
      </c>
    </row>
    <row r="6">
      <c r="B6" s="15" t="inlineStr">
        <is>
          <t>Monthly views</t>
        </is>
      </c>
      <c r="C6" s="16">
        <f>C5*Assumptions!$C$7</f>
        <v/>
      </c>
      <c r="D6" s="16">
        <f>D5*Assumptions!$C$7</f>
        <v/>
      </c>
      <c r="E6" s="16">
        <f>E5*Assumptions!$C$7</f>
        <v/>
      </c>
      <c r="F6" s="16">
        <f>F5*Assumptions!$C$7</f>
        <v/>
      </c>
      <c r="G6" s="16">
        <f>G5*Assumptions!$C$7</f>
        <v/>
      </c>
      <c r="H6" s="16">
        <f>H5*Assumptions!$C$7</f>
        <v/>
      </c>
      <c r="I6" s="16">
        <f>I5*Assumptions!$C$7</f>
        <v/>
      </c>
      <c r="J6" s="16">
        <f>J5*Assumptions!$C$7</f>
        <v/>
      </c>
      <c r="K6" s="16">
        <f>K5*Assumptions!$C$7</f>
        <v/>
      </c>
      <c r="L6" s="16">
        <f>L5*Assumptions!$C$7</f>
        <v/>
      </c>
      <c r="M6" s="16">
        <f>M5*Assumptions!$C$7</f>
        <v/>
      </c>
      <c r="N6" s="16">
        <f>N5*Assumptions!$C$7</f>
        <v/>
      </c>
    </row>
    <row r="7">
      <c r="B7" s="15" t="inlineStr">
        <is>
          <t>New email signups</t>
        </is>
      </c>
      <c r="C7" s="16">
        <f>C6*Assumptions!$C$8</f>
        <v/>
      </c>
      <c r="D7" s="16">
        <f>D6*Assumptions!$C$8</f>
        <v/>
      </c>
      <c r="E7" s="16">
        <f>E6*Assumptions!$C$8</f>
        <v/>
      </c>
      <c r="F7" s="16">
        <f>F6*Assumptions!$C$8</f>
        <v/>
      </c>
      <c r="G7" s="16">
        <f>G6*Assumptions!$C$8</f>
        <v/>
      </c>
      <c r="H7" s="16">
        <f>H6*Assumptions!$C$8</f>
        <v/>
      </c>
      <c r="I7" s="16">
        <f>I6*Assumptions!$C$8</f>
        <v/>
      </c>
      <c r="J7" s="16">
        <f>J6*Assumptions!$C$8</f>
        <v/>
      </c>
      <c r="K7" s="16">
        <f>K6*Assumptions!$C$8</f>
        <v/>
      </c>
      <c r="L7" s="16">
        <f>L6*Assumptions!$C$8</f>
        <v/>
      </c>
      <c r="M7" s="16">
        <f>M6*Assumptions!$C$8</f>
        <v/>
      </c>
      <c r="N7" s="16">
        <f>N6*Assumptions!$C$8</f>
        <v/>
      </c>
    </row>
    <row r="8">
      <c r="B8" s="15" t="inlineStr">
        <is>
          <t>Email list (cumulative)</t>
        </is>
      </c>
      <c r="C8" s="17">
        <f>C7</f>
        <v/>
      </c>
      <c r="D8" s="17">
        <f>C8+D7</f>
        <v/>
      </c>
      <c r="E8" s="17">
        <f>D8+E7</f>
        <v/>
      </c>
      <c r="F8" s="17">
        <f>E8+F7</f>
        <v/>
      </c>
      <c r="G8" s="17">
        <f>F8+G7</f>
        <v/>
      </c>
      <c r="H8" s="17">
        <f>G8+H7</f>
        <v/>
      </c>
      <c r="I8" s="17">
        <f>H8+I7</f>
        <v/>
      </c>
      <c r="J8" s="17">
        <f>I8+J7</f>
        <v/>
      </c>
      <c r="K8" s="17">
        <f>J8+K7</f>
        <v/>
      </c>
      <c r="L8" s="17">
        <f>K8+L7</f>
        <v/>
      </c>
      <c r="M8" s="17">
        <f>L8+M7</f>
        <v/>
      </c>
      <c r="N8" s="17">
        <f>M8+N7</f>
        <v/>
      </c>
    </row>
    <row r="9">
      <c r="B9" s="15" t="inlineStr">
        <is>
          <t>New paying members (gross)</t>
        </is>
      </c>
      <c r="C9" s="16">
        <f>C7*Assumptions!$C$9</f>
        <v/>
      </c>
      <c r="D9" s="16">
        <f>D7*Assumptions!$C$9</f>
        <v/>
      </c>
      <c r="E9" s="16">
        <f>E7*Assumptions!$C$9</f>
        <v/>
      </c>
      <c r="F9" s="16">
        <f>F7*Assumptions!$C$9</f>
        <v/>
      </c>
      <c r="G9" s="16">
        <f>G7*Assumptions!$C$9</f>
        <v/>
      </c>
      <c r="H9" s="16">
        <f>H7*Assumptions!$C$9</f>
        <v/>
      </c>
      <c r="I9" s="16">
        <f>I7*Assumptions!$C$9</f>
        <v/>
      </c>
      <c r="J9" s="16">
        <f>J7*Assumptions!$C$9</f>
        <v/>
      </c>
      <c r="K9" s="16">
        <f>K7*Assumptions!$C$9</f>
        <v/>
      </c>
      <c r="L9" s="16">
        <f>L7*Assumptions!$C$9</f>
        <v/>
      </c>
      <c r="M9" s="16">
        <f>M7*Assumptions!$C$9</f>
        <v/>
      </c>
      <c r="N9" s="16">
        <f>N7*Assumptions!$C$9</f>
        <v/>
      </c>
    </row>
    <row r="10">
      <c r="B10" s="15" t="inlineStr">
        <is>
          <t>Churned members</t>
        </is>
      </c>
      <c r="C10" s="17" t="n">
        <v>0</v>
      </c>
      <c r="D10" s="16">
        <f>C11*Assumptions!$C$10</f>
        <v/>
      </c>
      <c r="E10" s="16">
        <f>D11*Assumptions!$C$10</f>
        <v/>
      </c>
      <c r="F10" s="16">
        <f>E11*Assumptions!$C$10</f>
        <v/>
      </c>
      <c r="G10" s="16">
        <f>F11*Assumptions!$C$10</f>
        <v/>
      </c>
      <c r="H10" s="16">
        <f>G11*Assumptions!$C$10</f>
        <v/>
      </c>
      <c r="I10" s="16">
        <f>H11*Assumptions!$C$10</f>
        <v/>
      </c>
      <c r="J10" s="16">
        <f>I11*Assumptions!$C$10</f>
        <v/>
      </c>
      <c r="K10" s="16">
        <f>J11*Assumptions!$C$10</f>
        <v/>
      </c>
      <c r="L10" s="16">
        <f>K11*Assumptions!$C$10</f>
        <v/>
      </c>
      <c r="M10" s="16">
        <f>L11*Assumptions!$C$10</f>
        <v/>
      </c>
      <c r="N10" s="16">
        <f>M11*Assumptions!$C$10</f>
        <v/>
      </c>
    </row>
    <row r="11">
      <c r="B11" s="18" t="inlineStr">
        <is>
          <t>Paying members (end of month)</t>
        </is>
      </c>
      <c r="C11" s="17">
        <f>C9</f>
        <v/>
      </c>
      <c r="D11" s="17">
        <f>C11+D9-D10</f>
        <v/>
      </c>
      <c r="E11" s="17">
        <f>D11+E9-E10</f>
        <v/>
      </c>
      <c r="F11" s="17">
        <f>E11+F9-F10</f>
        <v/>
      </c>
      <c r="G11" s="17">
        <f>F11+G9-G10</f>
        <v/>
      </c>
      <c r="H11" s="17">
        <f>G11+H9-H10</f>
        <v/>
      </c>
      <c r="I11" s="17">
        <f>H11+I9-I10</f>
        <v/>
      </c>
      <c r="J11" s="17">
        <f>I11+J9-J10</f>
        <v/>
      </c>
      <c r="K11" s="17">
        <f>J11+K9-K10</f>
        <v/>
      </c>
      <c r="L11" s="17">
        <f>K11+L9-L10</f>
        <v/>
      </c>
      <c r="M11" s="17">
        <f>L11+M9-M10</f>
        <v/>
      </c>
      <c r="N11" s="17">
        <f>M11+N9-N10</f>
        <v/>
      </c>
    </row>
    <row r="12">
      <c r="B12" s="15" t="inlineStr">
        <is>
          <t xml:space="preserve">  Member tier</t>
        </is>
      </c>
      <c r="C12" s="16">
        <f>C11*Assumptions!$C$13</f>
        <v/>
      </c>
      <c r="D12" s="16">
        <f>D11*Assumptions!$C$13</f>
        <v/>
      </c>
      <c r="E12" s="16">
        <f>E11*Assumptions!$C$13</f>
        <v/>
      </c>
      <c r="F12" s="16">
        <f>F11*Assumptions!$C$13</f>
        <v/>
      </c>
      <c r="G12" s="16">
        <f>G11*Assumptions!$C$13</f>
        <v/>
      </c>
      <c r="H12" s="16">
        <f>H11*Assumptions!$C$13</f>
        <v/>
      </c>
      <c r="I12" s="16">
        <f>I11*Assumptions!$C$13</f>
        <v/>
      </c>
      <c r="J12" s="16">
        <f>J11*Assumptions!$C$13</f>
        <v/>
      </c>
      <c r="K12" s="16">
        <f>K11*Assumptions!$C$13</f>
        <v/>
      </c>
      <c r="L12" s="16">
        <f>L11*Assumptions!$C$13</f>
        <v/>
      </c>
      <c r="M12" s="16">
        <f>M11*Assumptions!$C$13</f>
        <v/>
      </c>
      <c r="N12" s="16">
        <f>N11*Assumptions!$C$13</f>
        <v/>
      </c>
    </row>
    <row r="13">
      <c r="B13" s="15" t="inlineStr">
        <is>
          <t xml:space="preserve">  Founding members</t>
        </is>
      </c>
      <c r="C13" s="16">
        <f>C11*(1-Assumptions!$C$13)</f>
        <v/>
      </c>
      <c r="D13" s="16">
        <f>D11*(1-Assumptions!$C$13)</f>
        <v/>
      </c>
      <c r="E13" s="16">
        <f>E11*(1-Assumptions!$C$13)</f>
        <v/>
      </c>
      <c r="F13" s="16">
        <f>F11*(1-Assumptions!$C$13)</f>
        <v/>
      </c>
      <c r="G13" s="16">
        <f>G11*(1-Assumptions!$C$13)</f>
        <v/>
      </c>
      <c r="H13" s="16">
        <f>H11*(1-Assumptions!$C$13)</f>
        <v/>
      </c>
      <c r="I13" s="16">
        <f>I11*(1-Assumptions!$C$13)</f>
        <v/>
      </c>
      <c r="J13" s="16">
        <f>J11*(1-Assumptions!$C$13)</f>
        <v/>
      </c>
      <c r="K13" s="16">
        <f>K11*(1-Assumptions!$C$13)</f>
        <v/>
      </c>
      <c r="L13" s="16">
        <f>L11*(1-Assumptions!$C$13)</f>
        <v/>
      </c>
      <c r="M13" s="16">
        <f>M11*(1-Assumptions!$C$13)</f>
        <v/>
      </c>
      <c r="N13" s="16">
        <f>N11*(1-Assumptions!$C$13)</f>
        <v/>
      </c>
    </row>
    <row r="15">
      <c r="B15" s="3" t="inlineStr">
        <is>
          <t>REVENUE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B16" s="18" t="inlineStr">
        <is>
          <t>MRR (recurring monthly)</t>
        </is>
      </c>
      <c r="C16" s="19">
        <f>C12*(1-Assumptions!$C$14)*Assumptions!$C$15 + C12*Assumptions!$C$14*Assumptions!$C$16/12 + C13*Assumptions!$C$17/12</f>
        <v/>
      </c>
      <c r="D16" s="19">
        <f>D12*(1-Assumptions!$C$14)*Assumptions!$C$15 + D12*Assumptions!$C$14*Assumptions!$C$16/12 + D13*Assumptions!$C$17/12</f>
        <v/>
      </c>
      <c r="E16" s="19">
        <f>E12*(1-Assumptions!$C$14)*Assumptions!$C$15 + E12*Assumptions!$C$14*Assumptions!$C$16/12 + E13*Assumptions!$C$17/12</f>
        <v/>
      </c>
      <c r="F16" s="19">
        <f>F12*(1-Assumptions!$C$14)*Assumptions!$C$15 + F12*Assumptions!$C$14*Assumptions!$C$16/12 + F13*Assumptions!$C$17/12</f>
        <v/>
      </c>
      <c r="G16" s="19">
        <f>G12*(1-Assumptions!$C$14)*Assumptions!$C$15 + G12*Assumptions!$C$14*Assumptions!$C$16/12 + G13*Assumptions!$C$17/12</f>
        <v/>
      </c>
      <c r="H16" s="19">
        <f>H12*(1-Assumptions!$C$14)*Assumptions!$C$15 + H12*Assumptions!$C$14*Assumptions!$C$16/12 + H13*Assumptions!$C$17/12</f>
        <v/>
      </c>
      <c r="I16" s="19">
        <f>I12*(1-Assumptions!$C$14)*Assumptions!$C$15 + I12*Assumptions!$C$14*Assumptions!$C$16/12 + I13*Assumptions!$C$17/12</f>
        <v/>
      </c>
      <c r="J16" s="19">
        <f>J12*(1-Assumptions!$C$14)*Assumptions!$C$15 + J12*Assumptions!$C$14*Assumptions!$C$16/12 + J13*Assumptions!$C$17/12</f>
        <v/>
      </c>
      <c r="K16" s="19">
        <f>K12*(1-Assumptions!$C$14)*Assumptions!$C$15 + K12*Assumptions!$C$14*Assumptions!$C$16/12 + K13*Assumptions!$C$17/12</f>
        <v/>
      </c>
      <c r="L16" s="19">
        <f>L12*(1-Assumptions!$C$14)*Assumptions!$C$15 + L12*Assumptions!$C$14*Assumptions!$C$16/12 + L13*Assumptions!$C$17/12</f>
        <v/>
      </c>
      <c r="M16" s="19">
        <f>M12*(1-Assumptions!$C$14)*Assumptions!$C$15 + M12*Assumptions!$C$14*Assumptions!$C$16/12 + M13*Assumptions!$C$17/12</f>
        <v/>
      </c>
      <c r="N16" s="19">
        <f>N12*(1-Assumptions!$C$14)*Assumptions!$C$15 + N12*Assumptions!$C$14*Assumptions!$C$16/12 + N13*Assumptions!$C$17/12</f>
        <v/>
      </c>
    </row>
    <row r="17">
      <c r="B17" s="15" t="inlineStr">
        <is>
          <t>Membership revenue (recognized)</t>
        </is>
      </c>
      <c r="C17" s="20">
        <f>C16</f>
        <v/>
      </c>
      <c r="D17" s="20">
        <f>D16</f>
        <v/>
      </c>
      <c r="E17" s="20">
        <f>E16</f>
        <v/>
      </c>
      <c r="F17" s="20">
        <f>F16</f>
        <v/>
      </c>
      <c r="G17" s="20">
        <f>G16</f>
        <v/>
      </c>
      <c r="H17" s="20">
        <f>H16</f>
        <v/>
      </c>
      <c r="I17" s="20">
        <f>I16</f>
        <v/>
      </c>
      <c r="J17" s="20">
        <f>J16</f>
        <v/>
      </c>
      <c r="K17" s="20">
        <f>K16</f>
        <v/>
      </c>
      <c r="L17" s="20">
        <f>L16</f>
        <v/>
      </c>
      <c r="M17" s="20">
        <f>M16</f>
        <v/>
      </c>
      <c r="N17" s="20">
        <f>N16</f>
        <v/>
      </c>
    </row>
    <row r="18">
      <c r="B18" s="15" t="inlineStr">
        <is>
          <t>Sponsorship revenue</t>
        </is>
      </c>
      <c r="C18" s="19">
        <f>Assumptions!$C$21*Assumptions!$C$25*(C6/1000)*Assumptions!$C$24</f>
        <v/>
      </c>
      <c r="D18" s="19">
        <f>Assumptions!$C$21*Assumptions!$C$25*(D6/1000)*Assumptions!$C$24</f>
        <v/>
      </c>
      <c r="E18" s="19">
        <f>Assumptions!$C$21*Assumptions!$C$25*(E6/1000)*Assumptions!$C$24</f>
        <v/>
      </c>
      <c r="F18" s="19">
        <f>Assumptions!$C$21*Assumptions!$C$25*(F6/1000)*Assumptions!$C$24</f>
        <v/>
      </c>
      <c r="G18" s="19">
        <f>Assumptions!$C$21*Assumptions!$C$25*(G6/1000)*Assumptions!$C$24</f>
        <v/>
      </c>
      <c r="H18" s="19">
        <f>Assumptions!$C$21*Assumptions!$C$25*(H6/1000)*Assumptions!$C$24</f>
        <v/>
      </c>
      <c r="I18" s="19">
        <f>Assumptions!$C$21*Assumptions!$C$25*(I6/1000)*Assumptions!$C$24</f>
        <v/>
      </c>
      <c r="J18" s="19">
        <f>Assumptions!$C$21*Assumptions!$C$25*(J6/1000)*Assumptions!$C$24</f>
        <v/>
      </c>
      <c r="K18" s="19">
        <f>Assumptions!$C$21*Assumptions!$C$25*(K6/1000)*Assumptions!$C$24</f>
        <v/>
      </c>
      <c r="L18" s="19">
        <f>Assumptions!$C$21*Assumptions!$C$25*(L6/1000)*Assumptions!$C$24</f>
        <v/>
      </c>
      <c r="M18" s="19">
        <f>Assumptions!$C$21*Assumptions!$C$25*(M6/1000)*Assumptions!$C$24</f>
        <v/>
      </c>
      <c r="N18" s="19">
        <f>Assumptions!$C$21*Assumptions!$C$25*(N6/1000)*Assumptions!$C$24</f>
        <v/>
      </c>
    </row>
    <row r="19">
      <c r="B19" s="15" t="inlineStr">
        <is>
          <t>Platform / ad revenue</t>
        </is>
      </c>
      <c r="C19" s="19">
        <f>C6*Assumptions!$C$29/1000*Assumptions!$C$28</f>
        <v/>
      </c>
      <c r="D19" s="19">
        <f>D6*Assumptions!$C$29/1000*Assumptions!$C$28</f>
        <v/>
      </c>
      <c r="E19" s="19">
        <f>E6*Assumptions!$C$29/1000*Assumptions!$C$28</f>
        <v/>
      </c>
      <c r="F19" s="19">
        <f>F6*Assumptions!$C$29/1000*Assumptions!$C$28</f>
        <v/>
      </c>
      <c r="G19" s="19">
        <f>G6*Assumptions!$C$29/1000*Assumptions!$C$28</f>
        <v/>
      </c>
      <c r="H19" s="19">
        <f>H6*Assumptions!$C$29/1000*Assumptions!$C$28</f>
        <v/>
      </c>
      <c r="I19" s="19">
        <f>I6*Assumptions!$C$29/1000*Assumptions!$C$28</f>
        <v/>
      </c>
      <c r="J19" s="19">
        <f>J6*Assumptions!$C$29/1000*Assumptions!$C$28</f>
        <v/>
      </c>
      <c r="K19" s="19">
        <f>K6*Assumptions!$C$29/1000*Assumptions!$C$28</f>
        <v/>
      </c>
      <c r="L19" s="19">
        <f>L6*Assumptions!$C$29/1000*Assumptions!$C$28</f>
        <v/>
      </c>
      <c r="M19" s="19">
        <f>M6*Assumptions!$C$29/1000*Assumptions!$C$28</f>
        <v/>
      </c>
      <c r="N19" s="19">
        <f>N6*Assumptions!$C$29/1000*Assumptions!$C$28</f>
        <v/>
      </c>
    </row>
    <row r="20">
      <c r="B20" s="21" t="inlineStr">
        <is>
          <t>Blended monthly revenue</t>
        </is>
      </c>
      <c r="C20" s="22">
        <f>C17+C18+C19</f>
        <v/>
      </c>
      <c r="D20" s="22">
        <f>D17+D18+D19</f>
        <v/>
      </c>
      <c r="E20" s="22">
        <f>E17+E18+E19</f>
        <v/>
      </c>
      <c r="F20" s="22">
        <f>F17+F18+F19</f>
        <v/>
      </c>
      <c r="G20" s="22">
        <f>G17+G18+G19</f>
        <v/>
      </c>
      <c r="H20" s="22">
        <f>H17+H18+H19</f>
        <v/>
      </c>
      <c r="I20" s="22">
        <f>I17+I18+I19</f>
        <v/>
      </c>
      <c r="J20" s="22">
        <f>J17+J18+J19</f>
        <v/>
      </c>
      <c r="K20" s="22">
        <f>K17+K18+K19</f>
        <v/>
      </c>
      <c r="L20" s="22">
        <f>L17+L18+L19</f>
        <v/>
      </c>
      <c r="M20" s="22">
        <f>M17+M18+M19</f>
        <v/>
      </c>
      <c r="N20" s="22">
        <f>N17+N18+N19</f>
        <v/>
      </c>
    </row>
    <row r="21">
      <c r="B21" s="18" t="inlineStr">
        <is>
          <t>Cumulative revenue</t>
        </is>
      </c>
      <c r="C21" s="20">
        <f>C20</f>
        <v/>
      </c>
      <c r="D21" s="20">
        <f>C21+D20</f>
        <v/>
      </c>
      <c r="E21" s="20">
        <f>D21+E20</f>
        <v/>
      </c>
      <c r="F21" s="20">
        <f>E21+F20</f>
        <v/>
      </c>
      <c r="G21" s="20">
        <f>F21+G20</f>
        <v/>
      </c>
      <c r="H21" s="20">
        <f>G21+H20</f>
        <v/>
      </c>
      <c r="I21" s="20">
        <f>H21+I20</f>
        <v/>
      </c>
      <c r="J21" s="20">
        <f>I21+J20</f>
        <v/>
      </c>
      <c r="K21" s="20">
        <f>J21+K20</f>
        <v/>
      </c>
      <c r="L21" s="20">
        <f>K21+L20</f>
        <v/>
      </c>
      <c r="M21" s="20">
        <f>L21+M20</f>
        <v/>
      </c>
      <c r="N21" s="20">
        <f>M21+N20</f>
        <v/>
      </c>
    </row>
    <row r="22">
      <c r="B22" s="15" t="inlineStr">
        <is>
          <t>ARR (MRR x 12)</t>
        </is>
      </c>
      <c r="C22" s="20">
        <f>C16*12</f>
        <v/>
      </c>
      <c r="D22" s="20">
        <f>D16*12</f>
        <v/>
      </c>
      <c r="E22" s="20">
        <f>E16*12</f>
        <v/>
      </c>
      <c r="F22" s="20">
        <f>F16*12</f>
        <v/>
      </c>
      <c r="G22" s="20">
        <f>G16*12</f>
        <v/>
      </c>
      <c r="H22" s="20">
        <f>H16*12</f>
        <v/>
      </c>
      <c r="I22" s="20">
        <f>I16*12</f>
        <v/>
      </c>
      <c r="J22" s="20">
        <f>J16*12</f>
        <v/>
      </c>
      <c r="K22" s="20">
        <f>K16*12</f>
        <v/>
      </c>
      <c r="L22" s="20">
        <f>L16*12</f>
        <v/>
      </c>
      <c r="M22" s="20">
        <f>M16*12</f>
        <v/>
      </c>
      <c r="N22" s="20">
        <f>N16*12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14" customWidth="1" min="4" max="4"/>
  </cols>
  <sheetData>
    <row r="1">
      <c r="B1" s="1" t="inlineStr">
        <is>
          <t>Summary — End of Year 1</t>
        </is>
      </c>
    </row>
    <row r="2">
      <c r="B2" s="2" t="inlineStr">
        <is>
          <t>DRAFT — illustrative assumptions. Figures pull live from the Projection sheet.</t>
        </is>
      </c>
    </row>
    <row r="4">
      <c r="B4" s="3" t="inlineStr">
        <is>
          <t>KEY OUTCOMES (Month 12)</t>
        </is>
      </c>
      <c r="C4" s="4" t="n"/>
      <c r="D4" s="4" t="n"/>
    </row>
    <row r="5">
      <c r="B5" s="18" t="inlineStr">
        <is>
          <t>Paying members</t>
        </is>
      </c>
      <c r="C5" s="16">
        <f>Projection!N11</f>
        <v/>
      </c>
    </row>
    <row r="6">
      <c r="B6" s="15" t="inlineStr">
        <is>
          <t xml:space="preserve">  Member tier</t>
        </is>
      </c>
      <c r="C6" s="16">
        <f>Projection!N12</f>
        <v/>
      </c>
    </row>
    <row r="7">
      <c r="B7" s="15" t="inlineStr">
        <is>
          <t xml:space="preserve">  Founding members</t>
        </is>
      </c>
      <c r="C7" s="16">
        <f>Projection!N13</f>
        <v/>
      </c>
    </row>
    <row r="8">
      <c r="B8" s="15" t="inlineStr">
        <is>
          <t>Email list</t>
        </is>
      </c>
      <c r="C8" s="16">
        <f>Projection!N8</f>
        <v/>
      </c>
    </row>
    <row r="9">
      <c r="B9" s="15" t="inlineStr">
        <is>
          <t>YouTube subscribers</t>
        </is>
      </c>
      <c r="C9" s="16">
        <f>Projection!N5</f>
        <v/>
      </c>
    </row>
    <row r="10">
      <c r="B10" s="18" t="inlineStr">
        <is>
          <t>MRR</t>
        </is>
      </c>
      <c r="C10" s="19">
        <f>Projection!N16</f>
        <v/>
      </c>
    </row>
    <row r="11">
      <c r="B11" s="21" t="inlineStr">
        <is>
          <t>ARR</t>
        </is>
      </c>
      <c r="C11" s="23">
        <f>Projection!N22</f>
        <v/>
      </c>
    </row>
    <row r="13">
      <c r="B13" s="3" t="inlineStr">
        <is>
          <t>YEAR-1 REVENUE BY LEG</t>
        </is>
      </c>
      <c r="C13" s="4" t="n"/>
      <c r="D13" s="4" t="n"/>
    </row>
    <row r="14">
      <c r="B14" s="15" t="inlineStr">
        <is>
          <t>Membership revenue</t>
        </is>
      </c>
      <c r="C14" s="19">
        <f>SUM(Projection!C17:N17)</f>
        <v/>
      </c>
    </row>
    <row r="15">
      <c r="B15" s="15" t="inlineStr">
        <is>
          <t>Sponsorship revenue</t>
        </is>
      </c>
      <c r="C15" s="19">
        <f>SUM(Projection!C18:N18)</f>
        <v/>
      </c>
    </row>
    <row r="16">
      <c r="B16" s="15" t="inlineStr">
        <is>
          <t>Platform / ad revenue</t>
        </is>
      </c>
      <c r="C16" s="19">
        <f>SUM(Projection!C19:N19)</f>
        <v/>
      </c>
    </row>
    <row r="17">
      <c r="B17" s="21" t="inlineStr">
        <is>
          <t>Total Year-1 revenue</t>
        </is>
      </c>
      <c r="C17" s="22">
        <f>SUM(C14:C16)</f>
        <v/>
      </c>
    </row>
    <row r="19">
      <c r="B19" s="3" t="inlineStr">
        <is>
          <t>REVENUE SPLIT (% of Year 1)</t>
        </is>
      </c>
      <c r="C19" s="4" t="n"/>
      <c r="D19" s="4" t="n"/>
    </row>
    <row r="20">
      <c r="B20" s="15" t="inlineStr">
        <is>
          <t>Membership</t>
        </is>
      </c>
      <c r="C20" s="24">
        <f>C14/C17</f>
        <v/>
      </c>
    </row>
    <row r="21">
      <c r="B21" s="15" t="inlineStr">
        <is>
          <t>Sponsorship</t>
        </is>
      </c>
      <c r="C21" s="24">
        <f>C15/C17</f>
        <v/>
      </c>
    </row>
    <row r="22">
      <c r="B22" s="15" t="inlineStr">
        <is>
          <t>Platform / ad</t>
        </is>
      </c>
      <c r="C22" s="24">
        <f>C16/C17</f>
        <v/>
      </c>
    </row>
    <row r="24">
      <c r="B24" s="2" t="inlineStr">
        <is>
          <t>DRAFT — illustrative assumptions; numbers to model, not committed. Edit the Assumptions sheet to update all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2026-06-05T19:38:43Z</dcterms:created>
  <dcterms:modified xmlns:dcterms="http://purl.org/dc/terms/" xmlns:xsi="http://www.w3.org/2001/XMLSchema-instance" xsi:type="dcterms:W3CDTF">2026-06-05T19:40:56Z</dcterms:modified>
</cp:coreProperties>
</file>