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Monthly Rollout" sheetId="3" state="visible" r:id="rId3"/>
    <sheet name="Markets &amp; Phasing" sheetId="4" state="visible" r:id="rId4"/>
    <sheet name="$100K Pa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b val="1"/>
      <color rgb="00001EFE"/>
      <sz val="20"/>
    </font>
    <font>
      <color rgb="00555555"/>
      <sz val="10"/>
    </font>
    <font>
      <b val="1"/>
      <color rgb="000A0A0A"/>
    </font>
    <font>
      <color rgb="00333333"/>
    </font>
    <font>
      <b val="1"/>
      <color rgb="00001EFE"/>
      <sz val="14"/>
    </font>
    <font>
      <b val="1"/>
      <color rgb="00FFFFFF"/>
    </font>
    <font>
      <b val="1"/>
      <color rgb="00001EFE"/>
    </font>
    <font>
      <b val="1"/>
      <color rgb="00001EFE"/>
      <sz val="13"/>
    </font>
    <font>
      <b val="1"/>
    </font>
    <font>
      <b val="1"/>
      <color rgb="000A7D2C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EF1F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7" fillId="3" borderId="1" pivotButton="0" quotePrefix="0" xfId="0"/>
    <xf numFmtId="0" fontId="7" fillId="3" borderId="1" pivotButton="0" quotePrefix="0" xfId="0"/>
    <xf numFmtId="0" fontId="8" fillId="0" borderId="0" pivotButton="0" quotePrefix="0" xfId="0"/>
    <xf numFmtId="0" fontId="9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0" fillId="0" borderId="1" pivotButton="0" quotePrefix="0" xfId="0"/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7" fillId="4" borderId="1" pivotButton="0" quotePrefix="0" xfId="0"/>
    <xf numFmtId="0" fontId="2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1" t="inlineStr">
        <is>
          <t>Gelatin — Global Revenue Model (v2)</t>
        </is>
      </c>
    </row>
    <row r="2">
      <c r="A2" s="2" t="inlineStr">
        <is>
          <t>Worldwide (built in Atlanta) · multi-market rollout · model dated 2026-06-01</t>
        </is>
      </c>
    </row>
    <row r="4">
      <c r="A4" s="3" t="inlineStr">
        <is>
          <t>Model logic</t>
        </is>
      </c>
      <c r="B4" s="4" t="inlineStr">
        <is>
          <t>Revenue = sum across active markets, each at its stage (Launch → Growing → Mature).</t>
        </is>
      </c>
    </row>
    <row r="5">
      <c r="A5" s="3" t="inlineStr">
        <is>
          <t>Pricing</t>
        </is>
      </c>
      <c r="B5" s="4" t="inlineStr">
        <is>
          <t>Flat $7 booking fee (DJ keeps 100%) + $10/mo memberships, localized per market currency.</t>
        </is>
      </c>
    </row>
    <row r="6">
      <c r="A6" s="3" t="inlineStr">
        <is>
          <t>Stage net / market / mo</t>
        </is>
      </c>
      <c r="B6" s="4" t="inlineStr">
        <is>
          <t>Launch ~$3K · Growing ~$15K · Mature ~$38K (editable on Assumptions).</t>
        </is>
      </c>
    </row>
    <row r="7">
      <c r="A7" s="3" t="inlineStr">
        <is>
          <t>Rollout</t>
        </is>
      </c>
      <c r="B7" s="4" t="inlineStr">
        <is>
          <t>Global signups now; verified events market-by-market. Edit the monthly market counts.</t>
        </is>
      </c>
    </row>
    <row r="8">
      <c r="A8" s="3" t="inlineStr">
        <is>
          <t>Headline</t>
        </is>
      </c>
      <c r="B8" s="4" t="inlineStr">
        <is>
          <t>Base rollout crosses $100K/MONTH net at ~month 19; ~$510K/mo with 25 markets by month 36.</t>
        </is>
      </c>
    </row>
    <row r="9">
      <c r="A9" s="3" t="inlineStr">
        <is>
          <t>Verification</t>
        </is>
      </c>
      <c r="B9" s="4" t="inlineStr">
        <is>
          <t>Venue headcount + venue feedback + patron QR reviews (no on-site rep).</t>
        </is>
      </c>
    </row>
    <row r="10">
      <c r="A10" s="3" t="inlineStr">
        <is>
          <t>Tabs</t>
        </is>
      </c>
      <c r="B10" s="4" t="inlineStr">
        <is>
          <t>Assumptions · Monthly Rollout (36 mo) · Markets &amp; Phasing · $100K Path</t>
        </is>
      </c>
    </row>
    <row r="11">
      <c r="A11" s="3" t="inlineStr">
        <is>
          <t>Caveat</t>
        </is>
      </c>
      <c r="B11" s="4" t="inlineStr">
        <is>
          <t>Illustrative; per-market nets are planning archetypes, not guarantees.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8" customWidth="1" min="3" max="3"/>
  </cols>
  <sheetData>
    <row r="1">
      <c r="A1" s="5" t="inlineStr">
        <is>
          <t>Assumptions (edit blue cells)</t>
        </is>
      </c>
    </row>
    <row r="3">
      <c r="A3" s="6" t="inlineStr">
        <is>
          <t>Driver</t>
        </is>
      </c>
      <c r="B3" s="6" t="inlineStr">
        <is>
          <t>Value</t>
        </is>
      </c>
      <c r="C3" s="6" t="inlineStr">
        <is>
          <t>Notes</t>
        </is>
      </c>
    </row>
    <row r="4">
      <c r="A4" s="3" t="inlineStr">
        <is>
          <t>Launch-stage net / market / mo</t>
        </is>
      </c>
      <c r="B4" s="7" t="n">
        <v>3000</v>
      </c>
      <c r="C4" s="2" t="inlineStr">
        <is>
          <t>Months 1–6 after a market goes live.</t>
        </is>
      </c>
    </row>
    <row r="5">
      <c r="A5" s="3" t="inlineStr">
        <is>
          <t>Growing-stage net / market / mo</t>
        </is>
      </c>
      <c r="B5" s="7" t="n">
        <v>15000</v>
      </c>
      <c r="C5" s="2" t="inlineStr">
        <is>
          <t>Months 7–18.</t>
        </is>
      </c>
    </row>
    <row r="6">
      <c r="A6" s="3" t="inlineStr">
        <is>
          <t>Mature-stage net / market / mo</t>
        </is>
      </c>
      <c r="B6" s="7" t="n">
        <v>38000</v>
      </c>
      <c r="C6" s="2" t="inlineStr">
        <is>
          <t>Month 19+. ~1,600 bookings + 1,000 members + add-ons.</t>
        </is>
      </c>
    </row>
    <row r="7">
      <c r="A7" s="3" t="inlineStr">
        <is>
          <t>Months in Launch stage</t>
        </is>
      </c>
      <c r="B7" s="8" t="n">
        <v>6</v>
      </c>
      <c r="C7" s="2" t="inlineStr">
        <is>
          <t>Then → Growing.</t>
        </is>
      </c>
    </row>
    <row r="8">
      <c r="A8" s="3" t="inlineStr">
        <is>
          <t>Months in Growing stage</t>
        </is>
      </c>
      <c r="B8" s="8" t="n">
        <v>12</v>
      </c>
      <c r="C8" s="2" t="inlineStr">
        <is>
          <t>Then → Mature (month 19+).</t>
        </is>
      </c>
    </row>
    <row r="9">
      <c r="A9" s="3" t="inlineStr">
        <is>
          <t>Booking fee (USD ref)</t>
        </is>
      </c>
      <c r="B9" s="7" t="n">
        <v>7</v>
      </c>
      <c r="C9" s="2" t="inlineStr">
        <is>
          <t>Localized per market; net ~$6.95/booking.</t>
        </is>
      </c>
    </row>
    <row r="10">
      <c r="A10" s="3" t="inlineStr">
        <is>
          <t>Membership (USD ref)</t>
        </is>
      </c>
      <c r="B10" s="7" t="n">
        <v>10</v>
      </c>
      <c r="C10" s="2" t="inlineStr">
        <is>
          <t>Each side; net ~$9.41/mo.</t>
        </is>
      </c>
    </row>
    <row r="11">
      <c r="A11" s="3" t="inlineStr">
        <is>
          <t>Target</t>
        </is>
      </c>
      <c r="B11" s="7" t="n">
        <v>100000</v>
      </c>
      <c r="C11" s="2" t="inlineStr">
        <is>
          <t>Monthly net revenue goal.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0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9" t="inlineStr">
        <is>
          <t>Monthly Rollout — Base global trajectory (36 months)</t>
        </is>
      </c>
    </row>
    <row r="2">
      <c r="A2" s="2" t="inlineStr">
        <is>
          <t>Edit the market counts per stage (blue). Net/mo recomputes. ✓ when net ≥ Target.</t>
        </is>
      </c>
    </row>
    <row r="4">
      <c r="A4" s="6" t="inlineStr">
        <is>
          <t>Month</t>
        </is>
      </c>
      <c r="B4" s="6" t="inlineStr">
        <is>
          <t># Launch</t>
        </is>
      </c>
      <c r="C4" s="6" t="inlineStr">
        <is>
          <t># Growing</t>
        </is>
      </c>
      <c r="D4" s="6" t="inlineStr">
        <is>
          <t># Mature</t>
        </is>
      </c>
      <c r="E4" s="6" t="inlineStr">
        <is>
          <t>Live markets</t>
        </is>
      </c>
      <c r="F4" s="6" t="inlineStr">
        <is>
          <t>Net / mo</t>
        </is>
      </c>
      <c r="G4" s="6" t="inlineStr">
        <is>
          <t>Cumulative</t>
        </is>
      </c>
      <c r="H4" s="6" t="inlineStr">
        <is>
          <t>Hit $100K?</t>
        </is>
      </c>
    </row>
    <row r="5">
      <c r="A5" s="10" t="n">
        <v>1</v>
      </c>
      <c r="B5" s="8" t="n">
        <v>1</v>
      </c>
      <c r="C5" s="8" t="n">
        <v>0</v>
      </c>
      <c r="D5" s="8" t="n">
        <v>0</v>
      </c>
      <c r="E5" s="11">
        <f>B5+C5+D5</f>
        <v/>
      </c>
      <c r="F5" s="12">
        <f>B5*Assumptions!$B$4+C5*Assumptions!$B$5+D5*Assumptions!$B$6</f>
        <v/>
      </c>
      <c r="G5" s="12">
        <f>F5</f>
        <v/>
      </c>
      <c r="H5" s="13">
        <f>IF(F5&gt;=Assumptions!$B$11,"✓ YES","")</f>
        <v/>
      </c>
    </row>
    <row r="6">
      <c r="A6" s="10" t="n">
        <v>2</v>
      </c>
      <c r="B6" s="8" t="n">
        <v>1</v>
      </c>
      <c r="C6" s="8" t="n">
        <v>0</v>
      </c>
      <c r="D6" s="8" t="n">
        <v>0</v>
      </c>
      <c r="E6" s="11">
        <f>B6+C6+D6</f>
        <v/>
      </c>
      <c r="F6" s="12">
        <f>B6*Assumptions!$B$4+C6*Assumptions!$B$5+D6*Assumptions!$B$6</f>
        <v/>
      </c>
      <c r="G6" s="12">
        <f>G5+F6</f>
        <v/>
      </c>
      <c r="H6" s="13">
        <f>IF(F6&gt;=Assumptions!$B$11,"✓ YES","")</f>
        <v/>
      </c>
    </row>
    <row r="7">
      <c r="A7" s="10" t="n">
        <v>3</v>
      </c>
      <c r="B7" s="8" t="n">
        <v>1</v>
      </c>
      <c r="C7" s="8" t="n">
        <v>0</v>
      </c>
      <c r="D7" s="8" t="n">
        <v>0</v>
      </c>
      <c r="E7" s="11">
        <f>B7+C7+D7</f>
        <v/>
      </c>
      <c r="F7" s="12">
        <f>B7*Assumptions!$B$4+C7*Assumptions!$B$5+D7*Assumptions!$B$6</f>
        <v/>
      </c>
      <c r="G7" s="12">
        <f>G6+F7</f>
        <v/>
      </c>
      <c r="H7" s="13">
        <f>IF(F7&gt;=Assumptions!$B$11,"✓ YES","")</f>
        <v/>
      </c>
    </row>
    <row r="8">
      <c r="A8" s="10" t="n">
        <v>4</v>
      </c>
      <c r="B8" s="8" t="n">
        <v>2</v>
      </c>
      <c r="C8" s="8" t="n">
        <v>0</v>
      </c>
      <c r="D8" s="8" t="n">
        <v>0</v>
      </c>
      <c r="E8" s="11">
        <f>B8+C8+D8</f>
        <v/>
      </c>
      <c r="F8" s="12">
        <f>B8*Assumptions!$B$4+C8*Assumptions!$B$5+D8*Assumptions!$B$6</f>
        <v/>
      </c>
      <c r="G8" s="12">
        <f>G7+F8</f>
        <v/>
      </c>
      <c r="H8" s="13">
        <f>IF(F8&gt;=Assumptions!$B$11,"✓ YES","")</f>
        <v/>
      </c>
    </row>
    <row r="9">
      <c r="A9" s="10" t="n">
        <v>5</v>
      </c>
      <c r="B9" s="8" t="n">
        <v>2</v>
      </c>
      <c r="C9" s="8" t="n">
        <v>0</v>
      </c>
      <c r="D9" s="8" t="n">
        <v>0</v>
      </c>
      <c r="E9" s="11">
        <f>B9+C9+D9</f>
        <v/>
      </c>
      <c r="F9" s="12">
        <f>B9*Assumptions!$B$4+C9*Assumptions!$B$5+D9*Assumptions!$B$6</f>
        <v/>
      </c>
      <c r="G9" s="12">
        <f>G8+F9</f>
        <v/>
      </c>
      <c r="H9" s="13">
        <f>IF(F9&gt;=Assumptions!$B$11,"✓ YES","")</f>
        <v/>
      </c>
    </row>
    <row r="10">
      <c r="A10" s="10" t="n">
        <v>6</v>
      </c>
      <c r="B10" s="8" t="n">
        <v>2</v>
      </c>
      <c r="C10" s="8" t="n">
        <v>0</v>
      </c>
      <c r="D10" s="8" t="n">
        <v>0</v>
      </c>
      <c r="E10" s="11">
        <f>B10+C10+D10</f>
        <v/>
      </c>
      <c r="F10" s="12">
        <f>B10*Assumptions!$B$4+C10*Assumptions!$B$5+D10*Assumptions!$B$6</f>
        <v/>
      </c>
      <c r="G10" s="12">
        <f>G9+F10</f>
        <v/>
      </c>
      <c r="H10" s="13">
        <f>IF(F10&gt;=Assumptions!$B$11,"✓ YES","")</f>
        <v/>
      </c>
    </row>
    <row r="11">
      <c r="A11" s="10" t="n">
        <v>7</v>
      </c>
      <c r="B11" s="8" t="n">
        <v>2</v>
      </c>
      <c r="C11" s="8" t="n">
        <v>1</v>
      </c>
      <c r="D11" s="8" t="n">
        <v>0</v>
      </c>
      <c r="E11" s="11">
        <f>B11+C11+D11</f>
        <v/>
      </c>
      <c r="F11" s="12">
        <f>B11*Assumptions!$B$4+C11*Assumptions!$B$5+D11*Assumptions!$B$6</f>
        <v/>
      </c>
      <c r="G11" s="12">
        <f>G10+F11</f>
        <v/>
      </c>
      <c r="H11" s="13">
        <f>IF(F11&gt;=Assumptions!$B$11,"✓ YES","")</f>
        <v/>
      </c>
    </row>
    <row r="12">
      <c r="A12" s="10" t="n">
        <v>8</v>
      </c>
      <c r="B12" s="8" t="n">
        <v>2</v>
      </c>
      <c r="C12" s="8" t="n">
        <v>1</v>
      </c>
      <c r="D12" s="8" t="n">
        <v>0</v>
      </c>
      <c r="E12" s="11">
        <f>B12+C12+D12</f>
        <v/>
      </c>
      <c r="F12" s="12">
        <f>B12*Assumptions!$B$4+C12*Assumptions!$B$5+D12*Assumptions!$B$6</f>
        <v/>
      </c>
      <c r="G12" s="12">
        <f>G11+F12</f>
        <v/>
      </c>
      <c r="H12" s="13">
        <f>IF(F12&gt;=Assumptions!$B$11,"✓ YES","")</f>
        <v/>
      </c>
    </row>
    <row r="13">
      <c r="A13" s="10" t="n">
        <v>9</v>
      </c>
      <c r="B13" s="8" t="n">
        <v>2</v>
      </c>
      <c r="C13" s="8" t="n">
        <v>1</v>
      </c>
      <c r="D13" s="8" t="n">
        <v>0</v>
      </c>
      <c r="E13" s="11">
        <f>B13+C13+D13</f>
        <v/>
      </c>
      <c r="F13" s="12">
        <f>B13*Assumptions!$B$4+C13*Assumptions!$B$5+D13*Assumptions!$B$6</f>
        <v/>
      </c>
      <c r="G13" s="12">
        <f>G12+F13</f>
        <v/>
      </c>
      <c r="H13" s="13">
        <f>IF(F13&gt;=Assumptions!$B$11,"✓ YES","")</f>
        <v/>
      </c>
    </row>
    <row r="14">
      <c r="A14" s="10" t="n">
        <v>10</v>
      </c>
      <c r="B14" s="8" t="n">
        <v>3</v>
      </c>
      <c r="C14" s="8" t="n">
        <v>2</v>
      </c>
      <c r="D14" s="8" t="n">
        <v>0</v>
      </c>
      <c r="E14" s="11">
        <f>B14+C14+D14</f>
        <v/>
      </c>
      <c r="F14" s="12">
        <f>B14*Assumptions!$B$4+C14*Assumptions!$B$5+D14*Assumptions!$B$6</f>
        <v/>
      </c>
      <c r="G14" s="12">
        <f>G13+F14</f>
        <v/>
      </c>
      <c r="H14" s="13">
        <f>IF(F14&gt;=Assumptions!$B$11,"✓ YES","")</f>
        <v/>
      </c>
    </row>
    <row r="15">
      <c r="A15" s="10" t="n">
        <v>11</v>
      </c>
      <c r="B15" s="8" t="n">
        <v>3</v>
      </c>
      <c r="C15" s="8" t="n">
        <v>2</v>
      </c>
      <c r="D15" s="8" t="n">
        <v>0</v>
      </c>
      <c r="E15" s="11">
        <f>B15+C15+D15</f>
        <v/>
      </c>
      <c r="F15" s="12">
        <f>B15*Assumptions!$B$4+C15*Assumptions!$B$5+D15*Assumptions!$B$6</f>
        <v/>
      </c>
      <c r="G15" s="12">
        <f>G14+F15</f>
        <v/>
      </c>
      <c r="H15" s="13">
        <f>IF(F15&gt;=Assumptions!$B$11,"✓ YES","")</f>
        <v/>
      </c>
    </row>
    <row r="16">
      <c r="A16" s="10" t="n">
        <v>12</v>
      </c>
      <c r="B16" s="8" t="n">
        <v>3</v>
      </c>
      <c r="C16" s="8" t="n">
        <v>2</v>
      </c>
      <c r="D16" s="8" t="n">
        <v>0</v>
      </c>
      <c r="E16" s="11">
        <f>B16+C16+D16</f>
        <v/>
      </c>
      <c r="F16" s="12">
        <f>B16*Assumptions!$B$4+C16*Assumptions!$B$5+D16*Assumptions!$B$6</f>
        <v/>
      </c>
      <c r="G16" s="12">
        <f>G15+F16</f>
        <v/>
      </c>
      <c r="H16" s="13">
        <f>IF(F16&gt;=Assumptions!$B$11,"✓ YES","")</f>
        <v/>
      </c>
    </row>
    <row r="17">
      <c r="A17" s="10" t="n">
        <v>13</v>
      </c>
      <c r="B17" s="8" t="n">
        <v>4</v>
      </c>
      <c r="C17" s="8" t="n">
        <v>3</v>
      </c>
      <c r="D17" s="8" t="n">
        <v>0</v>
      </c>
      <c r="E17" s="11">
        <f>B17+C17+D17</f>
        <v/>
      </c>
      <c r="F17" s="12">
        <f>B17*Assumptions!$B$4+C17*Assumptions!$B$5+D17*Assumptions!$B$6</f>
        <v/>
      </c>
      <c r="G17" s="12">
        <f>G16+F17</f>
        <v/>
      </c>
      <c r="H17" s="13">
        <f>IF(F17&gt;=Assumptions!$B$11,"✓ YES","")</f>
        <v/>
      </c>
    </row>
    <row r="18">
      <c r="A18" s="10" t="n">
        <v>14</v>
      </c>
      <c r="B18" s="8" t="n">
        <v>4</v>
      </c>
      <c r="C18" s="8" t="n">
        <v>3</v>
      </c>
      <c r="D18" s="8" t="n">
        <v>0</v>
      </c>
      <c r="E18" s="11">
        <f>B18+C18+D18</f>
        <v/>
      </c>
      <c r="F18" s="12">
        <f>B18*Assumptions!$B$4+C18*Assumptions!$B$5+D18*Assumptions!$B$6</f>
        <v/>
      </c>
      <c r="G18" s="12">
        <f>G17+F18</f>
        <v/>
      </c>
      <c r="H18" s="13">
        <f>IF(F18&gt;=Assumptions!$B$11,"✓ YES","")</f>
        <v/>
      </c>
    </row>
    <row r="19">
      <c r="A19" s="10" t="n">
        <v>15</v>
      </c>
      <c r="B19" s="8" t="n">
        <v>4</v>
      </c>
      <c r="C19" s="8" t="n">
        <v>3</v>
      </c>
      <c r="D19" s="8" t="n">
        <v>0</v>
      </c>
      <c r="E19" s="11">
        <f>B19+C19+D19</f>
        <v/>
      </c>
      <c r="F19" s="12">
        <f>B19*Assumptions!$B$4+C19*Assumptions!$B$5+D19*Assumptions!$B$6</f>
        <v/>
      </c>
      <c r="G19" s="12">
        <f>G18+F19</f>
        <v/>
      </c>
      <c r="H19" s="13">
        <f>IF(F19&gt;=Assumptions!$B$11,"✓ YES","")</f>
        <v/>
      </c>
    </row>
    <row r="20">
      <c r="A20" s="10" t="n">
        <v>16</v>
      </c>
      <c r="B20" s="8" t="n">
        <v>4</v>
      </c>
      <c r="C20" s="8" t="n">
        <v>5</v>
      </c>
      <c r="D20" s="8" t="n">
        <v>0</v>
      </c>
      <c r="E20" s="11">
        <f>B20+C20+D20</f>
        <v/>
      </c>
      <c r="F20" s="12">
        <f>B20*Assumptions!$B$4+C20*Assumptions!$B$5+D20*Assumptions!$B$6</f>
        <v/>
      </c>
      <c r="G20" s="12">
        <f>G19+F20</f>
        <v/>
      </c>
      <c r="H20" s="13">
        <f>IF(F20&gt;=Assumptions!$B$11,"✓ YES","")</f>
        <v/>
      </c>
    </row>
    <row r="21">
      <c r="A21" s="10" t="n">
        <v>17</v>
      </c>
      <c r="B21" s="8" t="n">
        <v>4</v>
      </c>
      <c r="C21" s="8" t="n">
        <v>5</v>
      </c>
      <c r="D21" s="8" t="n">
        <v>0</v>
      </c>
      <c r="E21" s="11">
        <f>B21+C21+D21</f>
        <v/>
      </c>
      <c r="F21" s="12">
        <f>B21*Assumptions!$B$4+C21*Assumptions!$B$5+D21*Assumptions!$B$6</f>
        <v/>
      </c>
      <c r="G21" s="12">
        <f>G20+F21</f>
        <v/>
      </c>
      <c r="H21" s="13">
        <f>IF(F21&gt;=Assumptions!$B$11,"✓ YES","")</f>
        <v/>
      </c>
    </row>
    <row r="22">
      <c r="A22" s="10" t="n">
        <v>18</v>
      </c>
      <c r="B22" s="8" t="n">
        <v>4</v>
      </c>
      <c r="C22" s="8" t="n">
        <v>5</v>
      </c>
      <c r="D22" s="8" t="n">
        <v>0</v>
      </c>
      <c r="E22" s="11">
        <f>B22+C22+D22</f>
        <v/>
      </c>
      <c r="F22" s="12">
        <f>B22*Assumptions!$B$4+C22*Assumptions!$B$5+D22*Assumptions!$B$6</f>
        <v/>
      </c>
      <c r="G22" s="12">
        <f>G21+F22</f>
        <v/>
      </c>
      <c r="H22" s="13">
        <f>IF(F22&gt;=Assumptions!$B$11,"✓ YES","")</f>
        <v/>
      </c>
    </row>
    <row r="23">
      <c r="A23" s="10" t="n">
        <v>19</v>
      </c>
      <c r="B23" s="8" t="n">
        <v>4</v>
      </c>
      <c r="C23" s="8" t="n">
        <v>6</v>
      </c>
      <c r="D23" s="8" t="n">
        <v>1</v>
      </c>
      <c r="E23" s="11">
        <f>B23+C23+D23</f>
        <v/>
      </c>
      <c r="F23" s="12">
        <f>B23*Assumptions!$B$4+C23*Assumptions!$B$5+D23*Assumptions!$B$6</f>
        <v/>
      </c>
      <c r="G23" s="12">
        <f>G22+F23</f>
        <v/>
      </c>
      <c r="H23" s="13">
        <f>IF(F23&gt;=Assumptions!$B$11,"✓ YES","")</f>
        <v/>
      </c>
    </row>
    <row r="24">
      <c r="A24" s="10" t="n">
        <v>20</v>
      </c>
      <c r="B24" s="8" t="n">
        <v>4</v>
      </c>
      <c r="C24" s="8" t="n">
        <v>6</v>
      </c>
      <c r="D24" s="8" t="n">
        <v>1</v>
      </c>
      <c r="E24" s="11">
        <f>B24+C24+D24</f>
        <v/>
      </c>
      <c r="F24" s="12">
        <f>B24*Assumptions!$B$4+C24*Assumptions!$B$5+D24*Assumptions!$B$6</f>
        <v/>
      </c>
      <c r="G24" s="12">
        <f>G23+F24</f>
        <v/>
      </c>
      <c r="H24" s="13">
        <f>IF(F24&gt;=Assumptions!$B$11,"✓ YES","")</f>
        <v/>
      </c>
    </row>
    <row r="25">
      <c r="A25" s="10" t="n">
        <v>21</v>
      </c>
      <c r="B25" s="8" t="n">
        <v>4</v>
      </c>
      <c r="C25" s="8" t="n">
        <v>6</v>
      </c>
      <c r="D25" s="8" t="n">
        <v>1</v>
      </c>
      <c r="E25" s="11">
        <f>B25+C25+D25</f>
        <v/>
      </c>
      <c r="F25" s="12">
        <f>B25*Assumptions!$B$4+C25*Assumptions!$B$5+D25*Assumptions!$B$6</f>
        <v/>
      </c>
      <c r="G25" s="12">
        <f>G24+F25</f>
        <v/>
      </c>
      <c r="H25" s="13">
        <f>IF(F25&gt;=Assumptions!$B$11,"✓ YES","")</f>
        <v/>
      </c>
    </row>
    <row r="26">
      <c r="A26" s="10" t="n">
        <v>22</v>
      </c>
      <c r="B26" s="8" t="n">
        <v>4</v>
      </c>
      <c r="C26" s="8" t="n">
        <v>7</v>
      </c>
      <c r="D26" s="8" t="n">
        <v>2</v>
      </c>
      <c r="E26" s="11">
        <f>B26+C26+D26</f>
        <v/>
      </c>
      <c r="F26" s="12">
        <f>B26*Assumptions!$B$4+C26*Assumptions!$B$5+D26*Assumptions!$B$6</f>
        <v/>
      </c>
      <c r="G26" s="12">
        <f>G25+F26</f>
        <v/>
      </c>
      <c r="H26" s="13">
        <f>IF(F26&gt;=Assumptions!$B$11,"✓ YES","")</f>
        <v/>
      </c>
    </row>
    <row r="27">
      <c r="A27" s="10" t="n">
        <v>23</v>
      </c>
      <c r="B27" s="8" t="n">
        <v>4</v>
      </c>
      <c r="C27" s="8" t="n">
        <v>7</v>
      </c>
      <c r="D27" s="8" t="n">
        <v>2</v>
      </c>
      <c r="E27" s="11">
        <f>B27+C27+D27</f>
        <v/>
      </c>
      <c r="F27" s="12">
        <f>B27*Assumptions!$B$4+C27*Assumptions!$B$5+D27*Assumptions!$B$6</f>
        <v/>
      </c>
      <c r="G27" s="12">
        <f>G26+F27</f>
        <v/>
      </c>
      <c r="H27" s="13">
        <f>IF(F27&gt;=Assumptions!$B$11,"✓ YES","")</f>
        <v/>
      </c>
    </row>
    <row r="28">
      <c r="A28" s="10" t="n">
        <v>24</v>
      </c>
      <c r="B28" s="8" t="n">
        <v>4</v>
      </c>
      <c r="C28" s="8" t="n">
        <v>7</v>
      </c>
      <c r="D28" s="8" t="n">
        <v>2</v>
      </c>
      <c r="E28" s="11">
        <f>B28+C28+D28</f>
        <v/>
      </c>
      <c r="F28" s="12">
        <f>B28*Assumptions!$B$4+C28*Assumptions!$B$5+D28*Assumptions!$B$6</f>
        <v/>
      </c>
      <c r="G28" s="12">
        <f>G27+F28</f>
        <v/>
      </c>
      <c r="H28" s="13">
        <f>IF(F28&gt;=Assumptions!$B$11,"✓ YES","")</f>
        <v/>
      </c>
    </row>
    <row r="29">
      <c r="A29" s="10" t="n">
        <v>25</v>
      </c>
      <c r="B29" s="8" t="n">
        <v>5</v>
      </c>
      <c r="C29" s="8" t="n">
        <v>8</v>
      </c>
      <c r="D29" s="8" t="n">
        <v>3</v>
      </c>
      <c r="E29" s="11">
        <f>B29+C29+D29</f>
        <v/>
      </c>
      <c r="F29" s="12">
        <f>B29*Assumptions!$B$4+C29*Assumptions!$B$5+D29*Assumptions!$B$6</f>
        <v/>
      </c>
      <c r="G29" s="12">
        <f>G28+F29</f>
        <v/>
      </c>
      <c r="H29" s="13">
        <f>IF(F29&gt;=Assumptions!$B$11,"✓ YES","")</f>
        <v/>
      </c>
    </row>
    <row r="30">
      <c r="A30" s="10" t="n">
        <v>26</v>
      </c>
      <c r="B30" s="8" t="n">
        <v>5</v>
      </c>
      <c r="C30" s="8" t="n">
        <v>8</v>
      </c>
      <c r="D30" s="8" t="n">
        <v>3</v>
      </c>
      <c r="E30" s="11">
        <f>B30+C30+D30</f>
        <v/>
      </c>
      <c r="F30" s="12">
        <f>B30*Assumptions!$B$4+C30*Assumptions!$B$5+D30*Assumptions!$B$6</f>
        <v/>
      </c>
      <c r="G30" s="12">
        <f>G29+F30</f>
        <v/>
      </c>
      <c r="H30" s="13">
        <f>IF(F30&gt;=Assumptions!$B$11,"✓ YES","")</f>
        <v/>
      </c>
    </row>
    <row r="31">
      <c r="A31" s="10" t="n">
        <v>27</v>
      </c>
      <c r="B31" s="8" t="n">
        <v>5</v>
      </c>
      <c r="C31" s="8" t="n">
        <v>8</v>
      </c>
      <c r="D31" s="8" t="n">
        <v>3</v>
      </c>
      <c r="E31" s="11">
        <f>B31+C31+D31</f>
        <v/>
      </c>
      <c r="F31" s="12">
        <f>B31*Assumptions!$B$4+C31*Assumptions!$B$5+D31*Assumptions!$B$6</f>
        <v/>
      </c>
      <c r="G31" s="12">
        <f>G30+F31</f>
        <v/>
      </c>
      <c r="H31" s="13">
        <f>IF(F31&gt;=Assumptions!$B$11,"✓ YES","")</f>
        <v/>
      </c>
    </row>
    <row r="32">
      <c r="A32" s="10" t="n">
        <v>28</v>
      </c>
      <c r="B32" s="8" t="n">
        <v>6</v>
      </c>
      <c r="C32" s="8" t="n">
        <v>8</v>
      </c>
      <c r="D32" s="8" t="n">
        <v>5</v>
      </c>
      <c r="E32" s="11">
        <f>B32+C32+D32</f>
        <v/>
      </c>
      <c r="F32" s="12">
        <f>B32*Assumptions!$B$4+C32*Assumptions!$B$5+D32*Assumptions!$B$6</f>
        <v/>
      </c>
      <c r="G32" s="12">
        <f>G31+F32</f>
        <v/>
      </c>
      <c r="H32" s="13">
        <f>IF(F32&gt;=Assumptions!$B$11,"✓ YES","")</f>
        <v/>
      </c>
    </row>
    <row r="33">
      <c r="A33" s="10" t="n">
        <v>29</v>
      </c>
      <c r="B33" s="8" t="n">
        <v>6</v>
      </c>
      <c r="C33" s="8" t="n">
        <v>8</v>
      </c>
      <c r="D33" s="8" t="n">
        <v>5</v>
      </c>
      <c r="E33" s="11">
        <f>B33+C33+D33</f>
        <v/>
      </c>
      <c r="F33" s="12">
        <f>B33*Assumptions!$B$4+C33*Assumptions!$B$5+D33*Assumptions!$B$6</f>
        <v/>
      </c>
      <c r="G33" s="12">
        <f>G32+F33</f>
        <v/>
      </c>
      <c r="H33" s="13">
        <f>IF(F33&gt;=Assumptions!$B$11,"✓ YES","")</f>
        <v/>
      </c>
    </row>
    <row r="34">
      <c r="A34" s="10" t="n">
        <v>30</v>
      </c>
      <c r="B34" s="8" t="n">
        <v>6</v>
      </c>
      <c r="C34" s="8" t="n">
        <v>8</v>
      </c>
      <c r="D34" s="8" t="n">
        <v>5</v>
      </c>
      <c r="E34" s="11">
        <f>B34+C34+D34</f>
        <v/>
      </c>
      <c r="F34" s="12">
        <f>B34*Assumptions!$B$4+C34*Assumptions!$B$5+D34*Assumptions!$B$6</f>
        <v/>
      </c>
      <c r="G34" s="12">
        <f>G33+F34</f>
        <v/>
      </c>
      <c r="H34" s="13">
        <f>IF(F34&gt;=Assumptions!$B$11,"✓ YES","")</f>
        <v/>
      </c>
    </row>
    <row r="35">
      <c r="A35" s="10" t="n">
        <v>31</v>
      </c>
      <c r="B35" s="8" t="n">
        <v>6</v>
      </c>
      <c r="C35" s="8" t="n">
        <v>9</v>
      </c>
      <c r="D35" s="8" t="n">
        <v>7</v>
      </c>
      <c r="E35" s="11">
        <f>B35+C35+D35</f>
        <v/>
      </c>
      <c r="F35" s="12">
        <f>B35*Assumptions!$B$4+C35*Assumptions!$B$5+D35*Assumptions!$B$6</f>
        <v/>
      </c>
      <c r="G35" s="12">
        <f>G34+F35</f>
        <v/>
      </c>
      <c r="H35" s="13">
        <f>IF(F35&gt;=Assumptions!$B$11,"✓ YES","")</f>
        <v/>
      </c>
    </row>
    <row r="36">
      <c r="A36" s="10" t="n">
        <v>32</v>
      </c>
      <c r="B36" s="8" t="n">
        <v>6</v>
      </c>
      <c r="C36" s="8" t="n">
        <v>9</v>
      </c>
      <c r="D36" s="8" t="n">
        <v>7</v>
      </c>
      <c r="E36" s="11">
        <f>B36+C36+D36</f>
        <v/>
      </c>
      <c r="F36" s="12">
        <f>B36*Assumptions!$B$4+C36*Assumptions!$B$5+D36*Assumptions!$B$6</f>
        <v/>
      </c>
      <c r="G36" s="12">
        <f>G35+F36</f>
        <v/>
      </c>
      <c r="H36" s="13">
        <f>IF(F36&gt;=Assumptions!$B$11,"✓ YES","")</f>
        <v/>
      </c>
    </row>
    <row r="37">
      <c r="A37" s="10" t="n">
        <v>33</v>
      </c>
      <c r="B37" s="8" t="n">
        <v>6</v>
      </c>
      <c r="C37" s="8" t="n">
        <v>9</v>
      </c>
      <c r="D37" s="8" t="n">
        <v>7</v>
      </c>
      <c r="E37" s="11">
        <f>B37+C37+D37</f>
        <v/>
      </c>
      <c r="F37" s="12">
        <f>B37*Assumptions!$B$4+C37*Assumptions!$B$5+D37*Assumptions!$B$6</f>
        <v/>
      </c>
      <c r="G37" s="12">
        <f>G36+F37</f>
        <v/>
      </c>
      <c r="H37" s="13">
        <f>IF(F37&gt;=Assumptions!$B$11,"✓ YES","")</f>
        <v/>
      </c>
    </row>
    <row r="38">
      <c r="A38" s="10" t="n">
        <v>34</v>
      </c>
      <c r="B38" s="8" t="n">
        <v>6</v>
      </c>
      <c r="C38" s="8" t="n">
        <v>10</v>
      </c>
      <c r="D38" s="8" t="n">
        <v>9</v>
      </c>
      <c r="E38" s="11">
        <f>B38+C38+D38</f>
        <v/>
      </c>
      <c r="F38" s="12">
        <f>B38*Assumptions!$B$4+C38*Assumptions!$B$5+D38*Assumptions!$B$6</f>
        <v/>
      </c>
      <c r="G38" s="12">
        <f>G37+F38</f>
        <v/>
      </c>
      <c r="H38" s="13">
        <f>IF(F38&gt;=Assumptions!$B$11,"✓ YES","")</f>
        <v/>
      </c>
    </row>
    <row r="39">
      <c r="A39" s="10" t="n">
        <v>35</v>
      </c>
      <c r="B39" s="8" t="n">
        <v>6</v>
      </c>
      <c r="C39" s="8" t="n">
        <v>10</v>
      </c>
      <c r="D39" s="8" t="n">
        <v>9</v>
      </c>
      <c r="E39" s="11">
        <f>B39+C39+D39</f>
        <v/>
      </c>
      <c r="F39" s="12">
        <f>B39*Assumptions!$B$4+C39*Assumptions!$B$5+D39*Assumptions!$B$6</f>
        <v/>
      </c>
      <c r="G39" s="12">
        <f>G38+F39</f>
        <v/>
      </c>
      <c r="H39" s="13">
        <f>IF(F39&gt;=Assumptions!$B$11,"✓ YES","")</f>
        <v/>
      </c>
    </row>
    <row r="40">
      <c r="A40" s="10" t="n">
        <v>36</v>
      </c>
      <c r="B40" s="8" t="n">
        <v>6</v>
      </c>
      <c r="C40" s="8" t="n">
        <v>10</v>
      </c>
      <c r="D40" s="8" t="n">
        <v>9</v>
      </c>
      <c r="E40" s="11">
        <f>B40+C40+D40</f>
        <v/>
      </c>
      <c r="F40" s="12">
        <f>B40*Assumptions!$B$4+C40*Assumptions!$B$5+D40*Assumptions!$B$6</f>
        <v/>
      </c>
      <c r="G40" s="12">
        <f>G39+F40</f>
        <v/>
      </c>
      <c r="H40" s="13">
        <f>IF(F40&gt;=Assumptions!$B$11,"✓ YES","")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6" customWidth="1" min="4" max="4"/>
  </cols>
  <sheetData>
    <row r="1">
      <c r="A1" s="9" t="inlineStr">
        <is>
          <t>Markets &amp; Phasing</t>
        </is>
      </c>
    </row>
    <row r="2">
      <c r="A2" s="2" t="inlineStr">
        <is>
          <t>Suggested order. Phase gated by Stripe payout support + tax/legal readiness.</t>
        </is>
      </c>
    </row>
    <row r="4">
      <c r="A4" s="6" t="inlineStr">
        <is>
          <t>Phase</t>
        </is>
      </c>
      <c r="B4" s="6" t="inlineStr">
        <is>
          <t>Markets</t>
        </is>
      </c>
      <c r="C4" s="6" t="inlineStr">
        <is>
          <t>Why</t>
        </is>
      </c>
      <c r="D4" s="6" t="inlineStr">
        <is>
          <t>Watch-outs</t>
        </is>
      </c>
    </row>
    <row r="5">
      <c r="A5" s="14" t="inlineStr">
        <is>
          <t>1 · Now</t>
        </is>
      </c>
      <c r="B5" s="15" t="inlineStr">
        <is>
          <t>Atlanta + US metros</t>
        </is>
      </c>
      <c r="C5" s="16" t="inlineStr">
        <is>
          <t>USD, Stripe-native, simplest tax</t>
        </is>
      </c>
      <c r="D5" s="16" t="inlineStr">
        <is>
          <t>US sales-tax nexus</t>
        </is>
      </c>
    </row>
    <row r="6">
      <c r="A6" s="14" t="inlineStr">
        <is>
          <t>2 · Yr 1–2</t>
        </is>
      </c>
      <c r="B6" s="15" t="inlineStr">
        <is>
          <t>Canada, UK, Ireland, Australia, NZ</t>
        </is>
      </c>
      <c r="C6" s="16" t="inlineStr">
        <is>
          <t>English, Stripe-strong, multi-currency</t>
        </is>
      </c>
      <c r="D6" s="16" t="inlineStr">
        <is>
          <t>FX, local consumer law</t>
        </is>
      </c>
    </row>
    <row r="7">
      <c r="A7" s="14" t="inlineStr">
        <is>
          <t>3 · Yr 2–3</t>
        </is>
      </c>
      <c r="B7" s="15" t="inlineStr">
        <is>
          <t>EU (DE, FR, NL, ES…)</t>
        </is>
      </c>
      <c r="C7" s="16" t="inlineStr">
        <is>
          <t>Large market</t>
        </is>
      </c>
      <c r="D7" s="16" t="inlineStr">
        <is>
          <t>Full VAT + GDPR</t>
        </is>
      </c>
    </row>
    <row r="8">
      <c r="A8" s="14" t="inlineStr">
        <is>
          <t>4 · Yr 3+</t>
        </is>
      </c>
      <c r="B8" s="15" t="inlineStr">
        <is>
          <t>Rest of world</t>
        </is>
      </c>
      <c r="C8" s="16" t="inlineStr">
        <is>
          <t>Demand-led from signups</t>
        </is>
      </c>
      <c r="D8" s="16" t="inlineStr">
        <is>
          <t>Stripe payout coverage, compliance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</cols>
  <sheetData>
    <row r="1">
      <c r="A1" s="5" t="inlineStr">
        <is>
          <t>The $100K / month path</t>
        </is>
      </c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Note</t>
        </is>
      </c>
    </row>
    <row r="4">
      <c r="A4" s="17" t="inlineStr">
        <is>
          <t>Single-metro ceiling (Atlanta only)</t>
        </is>
      </c>
      <c r="B4" s="18" t="inlineStr">
        <is>
          <t>~$16,000 / mo</t>
        </is>
      </c>
      <c r="C4" s="19" t="inlineStr">
        <is>
          <t>Why worldwide was necessary</t>
        </is>
      </c>
    </row>
    <row r="5">
      <c r="A5" s="17" t="inlineStr">
        <is>
          <t>Markets needed — mature</t>
        </is>
      </c>
      <c r="B5" s="18" t="inlineStr">
        <is>
          <t>~3 markets</t>
        </is>
      </c>
      <c r="C5" s="19" t="inlineStr">
        <is>
          <t>at ~$38K/mo each</t>
        </is>
      </c>
    </row>
    <row r="6">
      <c r="A6" s="17" t="inlineStr">
        <is>
          <t>Markets needed — emerging</t>
        </is>
      </c>
      <c r="B6" s="18" t="inlineStr">
        <is>
          <t>~9 markets</t>
        </is>
      </c>
      <c r="C6" s="19" t="inlineStr">
        <is>
          <t>at ~$11K/mo each</t>
        </is>
      </c>
    </row>
    <row r="7">
      <c r="A7" s="17" t="inlineStr">
        <is>
          <t>Base rollout crosses $100K/mo</t>
        </is>
      </c>
      <c r="B7" s="18" t="inlineStr">
        <is>
          <t>~Month 19</t>
        </is>
      </c>
      <c r="C7" s="19" t="inlineStr">
        <is>
          <t>≈ 2y7m — when first markets mature</t>
        </is>
      </c>
    </row>
    <row r="8">
      <c r="A8" s="17" t="inlineStr">
        <is>
          <t>Month-36 run-rate</t>
        </is>
      </c>
      <c r="B8" s="18" t="inlineStr">
        <is>
          <t>~$510,000 / mo</t>
        </is>
      </c>
      <c r="C8" s="19" t="inlineStr">
        <is>
          <t>25 active markets</t>
        </is>
      </c>
    </row>
    <row r="9">
      <c r="A9" s="17" t="inlineStr">
        <is>
          <t>3-year cumulative net</t>
        </is>
      </c>
      <c r="B9" s="18" t="inlineStr">
        <is>
          <t>~$6.2M</t>
        </is>
      </c>
      <c r="C9" s="19" t="inlineStr">
        <is>
          <t>Base rollout</t>
        </is>
      </c>
    </row>
    <row r="12">
      <c r="A12" s="20" t="inlineStr">
        <is>
          <t>Levers to go faster: add markets quicker, raise tiered fees on premium events, lift membership adoption, add featured-placement 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2026-06-01T22:38:59Z</dcterms:created>
  <dcterms:modified xsi:type="dcterms:W3CDTF">2026-06-01T22:38:59Z</dcterms:modified>
</cp:coreProperties>
</file>